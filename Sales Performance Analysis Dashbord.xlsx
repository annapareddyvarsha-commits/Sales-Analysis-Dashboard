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76cc4185bf1e47/Documents/"/>
    </mc:Choice>
  </mc:AlternateContent>
  <xr:revisionPtr revIDLastSave="355" documentId="8_{5196615F-AD4D-459E-8D44-1F3E1AA5EB06}" xr6:coauthVersionLast="47" xr6:coauthVersionMax="47" xr10:uidLastSave="{FD7CA200-4EC4-4C9B-B13D-80F628B6D5FE}"/>
  <bookViews>
    <workbookView xWindow="-108" yWindow="-108" windowWidth="23256" windowHeight="12456" xr2:uid="{E5D4373D-18D7-40C1-9F82-529886426897}"/>
  </bookViews>
  <sheets>
    <sheet name="Dashbord" sheetId="3" r:id="rId1"/>
    <sheet name="Sheet4" sheetId="7" r:id="rId2"/>
    <sheet name="Sheet5" sheetId="8" r:id="rId3"/>
    <sheet name="sales data" sheetId="1" r:id="rId4"/>
    <sheet name="analysis" sheetId="2" r:id="rId5"/>
  </sheets>
  <calcPr calcId="191029"/>
  <pivotCaches>
    <pivotCache cacheId="15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C6" i="2"/>
  <c r="C5" i="2"/>
  <c r="C4" i="2"/>
  <c r="C3" i="2"/>
  <c r="C2" i="2"/>
</calcChain>
</file>

<file path=xl/sharedStrings.xml><?xml version="1.0" encoding="utf-8"?>
<sst xmlns="http://schemas.openxmlformats.org/spreadsheetml/2006/main" count="78" uniqueCount="33">
  <si>
    <t>Date</t>
  </si>
  <si>
    <t>Product</t>
  </si>
  <si>
    <t>Region</t>
  </si>
  <si>
    <t>Sales</t>
  </si>
  <si>
    <t>Profit</t>
  </si>
  <si>
    <t>Laptop</t>
  </si>
  <si>
    <t>South</t>
  </si>
  <si>
    <t>Mobile</t>
  </si>
  <si>
    <t>Headphones</t>
  </si>
  <si>
    <t>North</t>
  </si>
  <si>
    <t>East</t>
  </si>
  <si>
    <t>West</t>
  </si>
  <si>
    <t>Cell</t>
  </si>
  <si>
    <t>Type</t>
  </si>
  <si>
    <t>A1</t>
  </si>
  <si>
    <t>Total Sales</t>
  </si>
  <si>
    <t>A2</t>
  </si>
  <si>
    <t>A3</t>
  </si>
  <si>
    <t>Average Sales</t>
  </si>
  <si>
    <t>Total</t>
  </si>
  <si>
    <t>Total profit</t>
  </si>
  <si>
    <t>A4</t>
  </si>
  <si>
    <t>Average profit</t>
  </si>
  <si>
    <t>A5</t>
  </si>
  <si>
    <t>Sales Analysis Performance Dashbord</t>
  </si>
  <si>
    <t>Average Profit</t>
  </si>
  <si>
    <t>Result</t>
  </si>
  <si>
    <t xml:space="preserve">Total Sales </t>
  </si>
  <si>
    <t>Average sales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</si>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</sst>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 indent="5"/>
    </xf>
    <xf numFmtId="0" fontId="0" fillId="0" borderId="0" xfId="0" applyAlignment="1">
      <alignment horizontal="left" indent="5"/>
    </xf>
    <xf numFmtId="0" fontId="1" fillId="0" borderId="0" xfId="0" applyFont="1" applyAlignment="1">
      <alignment horizontal="left" vertical="center" wrapText="1" indent="6"/>
    </xf>
    <xf numFmtId="0" fontId="0" fillId="0" borderId="0" xfId="0" applyAlignment="1">
      <alignment horizontal="left" indent="6"/>
    </xf>
    <xf numFmtId="0" fontId="1" fillId="0" borderId="0" xfId="0" applyFont="1" applyAlignment="1">
      <alignment horizontal="left" vertical="center" wrapText="1" indent="7"/>
    </xf>
    <xf numFmtId="14" fontId="0" fillId="0" borderId="0" xfId="0" applyNumberFormat="1" applyAlignment="1">
      <alignment horizontal="left" vertical="center" wrapText="1" indent="7"/>
    </xf>
    <xf numFmtId="0" fontId="0" fillId="0" borderId="0" xfId="0" applyAlignment="1">
      <alignment horizontal="left" indent="7"/>
    </xf>
    <xf numFmtId="0" fontId="1" fillId="0" borderId="0" xfId="0" applyFont="1" applyAlignment="1">
      <alignment horizontal="right" wrapText="1" indent="7"/>
    </xf>
    <xf numFmtId="0" fontId="0" fillId="0" borderId="0" xfId="0" applyAlignment="1">
      <alignment horizontal="right" wrapText="1" indent="7"/>
    </xf>
    <xf numFmtId="0" fontId="0" fillId="0" borderId="0" xfId="0" applyAlignment="1">
      <alignment horizontal="right" indent="7"/>
    </xf>
    <xf numFmtId="0" fontId="1" fillId="0" borderId="0" xfId="0" applyFont="1" applyAlignment="1">
      <alignment horizontal="right" vertical="top" wrapText="1" indent="5"/>
    </xf>
    <xf numFmtId="0" fontId="0" fillId="0" borderId="0" xfId="0" applyAlignment="1">
      <alignment horizontal="right" vertical="top" wrapText="1" indent="5"/>
    </xf>
    <xf numFmtId="0" fontId="0" fillId="0" borderId="0" xfId="0" applyAlignment="1">
      <alignment horizontal="right" vertical="top" indent="5"/>
    </xf>
    <xf numFmtId="0" fontId="0" fillId="0" borderId="0" xfId="0" applyAlignment="1">
      <alignment horizontal="left" vertical="center" wrapText="1" indent="5"/>
    </xf>
    <xf numFmtId="0" fontId="0" fillId="0" borderId="0" xfId="0" applyAlignment="1">
      <alignment horizontal="left" vertical="center" wrapText="1" indent="6"/>
    </xf>
    <xf numFmtId="0" fontId="0" fillId="0" borderId="0" xfId="0" applyAlignment="1">
      <alignment horizontal="left" vertical="center" wrapText="1" indent="1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alignment horizontal="left" vertical="center" textRotation="0" wrapText="1" indent="6" justifyLastLine="0" shrinkToFit="0" readingOrder="0"/>
    </dxf>
    <dxf>
      <alignment horizontal="left" vertical="center" textRotation="0" wrapText="1" indent="5" justifyLastLine="0" shrinkToFit="0" readingOrder="0"/>
    </dxf>
    <dxf>
      <alignment horizontal="right" vertical="top" textRotation="0" wrapText="1" indent="5" justifyLastLine="0" shrinkToFit="0" readingOrder="0"/>
    </dxf>
    <dxf>
      <alignment horizontal="right" vertical="bottom" textRotation="0" wrapText="1" indent="7" justifyLastLine="0" shrinkToFit="0" readingOrder="0"/>
    </dxf>
    <dxf>
      <numFmt numFmtId="19" formatCode="dd/mm/yyyy"/>
      <alignment horizontal="left" vertical="center" textRotation="0" wrapText="1" indent="7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Dashbord.xlsx]Sheet4!PivotTable4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166000</c:v>
                </c:pt>
                <c:pt idx="1">
                  <c:v>110000</c:v>
                </c:pt>
                <c:pt idx="2">
                  <c:v>190000</c:v>
                </c:pt>
                <c:pt idx="3">
                  <c:v>184000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0-489C-8CF4-CB204CEDB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5583231"/>
        <c:axId val="1417324079"/>
      </c:barChart>
      <c:lineChart>
        <c:grouping val="standard"/>
        <c:varyColors val="0"/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27000</c:v>
                </c:pt>
                <c:pt idx="1">
                  <c:v>19000</c:v>
                </c:pt>
                <c:pt idx="2">
                  <c:v>33000</c:v>
                </c:pt>
                <c:pt idx="3">
                  <c:v>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0-489C-8CF4-CB204CEDB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583231"/>
        <c:axId val="1417324079"/>
      </c:lineChart>
      <c:catAx>
        <c:axId val="100558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24079"/>
        <c:crosses val="autoZero"/>
        <c:auto val="1"/>
        <c:lblAlgn val="ctr"/>
        <c:lblOffset val="100"/>
        <c:noMultiLvlLbl val="0"/>
      </c:catAx>
      <c:valAx>
        <c:axId val="14173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8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Dashbord.xlsx]Sheet5!PivotTable5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74000</c:v>
                </c:pt>
                <c:pt idx="1">
                  <c:v>396000</c:v>
                </c:pt>
                <c:pt idx="2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E-4AE4-B2D5-720799CAF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141967"/>
        <c:axId val="1417309679"/>
      </c:barChart>
      <c:catAx>
        <c:axId val="107414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09679"/>
        <c:crosses val="autoZero"/>
        <c:auto val="1"/>
        <c:lblAlgn val="ctr"/>
        <c:lblOffset val="100"/>
        <c:noMultiLvlLbl val="0"/>
      </c:catAx>
      <c:valAx>
        <c:axId val="14173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4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 Dashbord.xlsx]Sheet4!PivotTable4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166000</c:v>
                </c:pt>
                <c:pt idx="1">
                  <c:v>110000</c:v>
                </c:pt>
                <c:pt idx="2">
                  <c:v>190000</c:v>
                </c:pt>
                <c:pt idx="3">
                  <c:v>184000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B-498B-BFE6-C20515E3D553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27000</c:v>
                </c:pt>
                <c:pt idx="1">
                  <c:v>19000</c:v>
                </c:pt>
                <c:pt idx="2">
                  <c:v>33000</c:v>
                </c:pt>
                <c:pt idx="3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B-498B-BFE6-C20515E3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5583231"/>
        <c:axId val="1417324079"/>
      </c:barChart>
      <c:catAx>
        <c:axId val="100558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324079"/>
        <c:crosses val="autoZero"/>
        <c:auto val="1"/>
        <c:lblAlgn val="ctr"/>
        <c:lblOffset val="100"/>
        <c:noMultiLvlLbl val="0"/>
      </c:catAx>
      <c:valAx>
        <c:axId val="14173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8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9</xdr:row>
      <xdr:rowOff>167640</xdr:rowOff>
    </xdr:from>
    <xdr:to>
      <xdr:col>4</xdr:col>
      <xdr:colOff>579120</xdr:colOff>
      <xdr:row>23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9DA1C-55C7-493F-8762-0BCD729ED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9</xdr:row>
      <xdr:rowOff>144780</xdr:rowOff>
    </xdr:from>
    <xdr:to>
      <xdr:col>1</xdr:col>
      <xdr:colOff>1318260</xdr:colOff>
      <xdr:row>23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8B3768-CD93-4846-B38A-CB7F7AFD9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30</xdr:row>
      <xdr:rowOff>0</xdr:rowOff>
    </xdr:from>
    <xdr:to>
      <xdr:col>4</xdr:col>
      <xdr:colOff>335280</xdr:colOff>
      <xdr:row>43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53331C-1E55-408B-8C99-5485ABC82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INI" refreshedDate="46287.759766319446" createdVersion="8" refreshedVersion="8" minRefreshableVersion="3" recordCount="20" xr:uid="{C9EA027A-1EBF-43F1-BBAD-13ABDE6BBA11}">
  <cacheSource type="worksheet">
    <worksheetSource name="Table1"/>
  </cacheSource>
  <cacheFields count="5">
    <cacheField name="Date" numFmtId="14">
      <sharedItems containsSemiMixedTypes="0" containsNonDate="0" containsDate="1" containsString="0" minDate="2026-01-01T00:00:00" maxDate="2026-01-21T00:00:00"/>
    </cacheField>
    <cacheField name="Product" numFmtId="0">
      <sharedItems count="3">
        <s v="Laptop"/>
        <s v="Mobile"/>
        <s v="Headphones"/>
      </sharedItems>
    </cacheField>
    <cacheField name="Region" numFmtId="0">
      <sharedItems count="4">
        <s v="South"/>
        <s v="North"/>
        <s v="East"/>
        <s v="West"/>
      </sharedItems>
    </cacheField>
    <cacheField name="Sales" numFmtId="0">
      <sharedItems containsSemiMixedTypes="0" containsString="0" containsNumber="1" containsInteger="1" minValue="10000" maxValue="55000"/>
    </cacheField>
    <cacheField name="Profit" numFmtId="0">
      <sharedItems containsSemiMixedTypes="0" containsString="0" containsNumber="1" containsInteger="1" minValue="25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1-01T00:00:00"/>
    <x v="0"/>
    <x v="0"/>
    <n v="50000"/>
    <n v="8000"/>
  </r>
  <r>
    <d v="2026-01-02T00:00:00"/>
    <x v="1"/>
    <x v="0"/>
    <n v="30000"/>
    <n v="5000"/>
  </r>
  <r>
    <d v="2026-01-03T00:00:00"/>
    <x v="2"/>
    <x v="1"/>
    <n v="10000"/>
    <n v="2500"/>
  </r>
  <r>
    <d v="2026-01-04T00:00:00"/>
    <x v="0"/>
    <x v="1"/>
    <n v="45000"/>
    <n v="7000"/>
  </r>
  <r>
    <d v="2026-01-05T00:00:00"/>
    <x v="1"/>
    <x v="2"/>
    <n v="28000"/>
    <n v="4500"/>
  </r>
  <r>
    <d v="2026-01-06T00:00:00"/>
    <x v="2"/>
    <x v="3"/>
    <n v="12000"/>
    <n v="3000"/>
  </r>
  <r>
    <d v="2026-01-07T00:00:00"/>
    <x v="0"/>
    <x v="2"/>
    <n v="55000"/>
    <n v="9000"/>
  </r>
  <r>
    <d v="2026-01-08T00:00:00"/>
    <x v="1"/>
    <x v="3"/>
    <n v="32000"/>
    <n v="5500"/>
  </r>
  <r>
    <d v="2026-01-09T00:00:00"/>
    <x v="2"/>
    <x v="0"/>
    <n v="15000"/>
    <n v="3500"/>
  </r>
  <r>
    <d v="2026-01-10T00:00:00"/>
    <x v="0"/>
    <x v="3"/>
    <n v="48000"/>
    <n v="7500"/>
  </r>
  <r>
    <d v="2026-01-11T00:00:00"/>
    <x v="0"/>
    <x v="0"/>
    <n v="50000"/>
    <n v="8000"/>
  </r>
  <r>
    <d v="2026-01-12T00:00:00"/>
    <x v="1"/>
    <x v="0"/>
    <n v="30000"/>
    <n v="5000"/>
  </r>
  <r>
    <d v="2026-01-13T00:00:00"/>
    <x v="2"/>
    <x v="1"/>
    <n v="10000"/>
    <n v="2500"/>
  </r>
  <r>
    <d v="2026-01-14T00:00:00"/>
    <x v="0"/>
    <x v="1"/>
    <n v="45000"/>
    <n v="7000"/>
  </r>
  <r>
    <d v="2026-01-15T00:00:00"/>
    <x v="1"/>
    <x v="2"/>
    <n v="28000"/>
    <n v="4500"/>
  </r>
  <r>
    <d v="2026-01-16T00:00:00"/>
    <x v="2"/>
    <x v="3"/>
    <n v="12000"/>
    <n v="3000"/>
  </r>
  <r>
    <d v="2026-01-17T00:00:00"/>
    <x v="0"/>
    <x v="2"/>
    <n v="55000"/>
    <n v="9000"/>
  </r>
  <r>
    <d v="2026-01-18T00:00:00"/>
    <x v="1"/>
    <x v="3"/>
    <n v="32000"/>
    <n v="5500"/>
  </r>
  <r>
    <d v="2026-01-19T00:00:00"/>
    <x v="2"/>
    <x v="0"/>
    <n v="15000"/>
    <n v="3500"/>
  </r>
  <r>
    <d v="2026-01-20T00:00:00"/>
    <x v="0"/>
    <x v="3"/>
    <n v="48000"/>
    <n v="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13959-9680-44C8-86E4-244E67F01B4C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C8" firstHeaderRow="0" firstDataRow="1" firstDataCol="1"/>
  <pivotFields count="5">
    <pivotField numFmtId="14"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4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9D0BC-F374-41C8-9CA2-0F466FDF86CF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5"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ED76B-C5B1-445B-83FA-8C9448FFE2EC}" name="Table1" displayName="Table1" ref="A1:E21" totalsRowShown="0">
  <autoFilter ref="A1:E21" xr:uid="{5E2ED76B-C5B1-445B-83FA-8C9448FFE2EC}"/>
  <tableColumns count="5">
    <tableColumn id="1" xr3:uid="{8717115F-AD07-4472-8882-EECA36FAB9CA}" name="Date" dataDxfId="4"/>
    <tableColumn id="2" xr3:uid="{B74C17FA-DB50-4AA6-B71B-5FBD849CF9D6}" name="Product" dataDxfId="3"/>
    <tableColumn id="3" xr3:uid="{17C30FBC-DD6E-482B-8E68-F16CE75DC7EA}" name="Region" dataDxfId="2"/>
    <tableColumn id="4" xr3:uid="{418C29E3-8C69-4D31-A006-B3F98A78EAE5}" name="Sales" dataDxfId="1"/>
    <tableColumn id="5" xr3:uid="{BB61ACF4-6FEC-4517-8A4A-C876DFAEF4FE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1ED7-B273-4650-849C-2C3C66F6B72D}">
  <dimension ref="A1:D7"/>
  <sheetViews>
    <sheetView tabSelected="1" topLeftCell="A17" zoomScale="93" workbookViewId="0">
      <selection activeCell="H27" sqref="H27"/>
    </sheetView>
  </sheetViews>
  <sheetFormatPr defaultRowHeight="14.4" x14ac:dyDescent="0.3"/>
  <cols>
    <col min="1" max="1" width="35.21875" customWidth="1"/>
    <col min="2" max="2" width="20.88671875" customWidth="1"/>
    <col min="3" max="3" width="28.21875" customWidth="1"/>
    <col min="4" max="4" width="20.88671875" customWidth="1"/>
  </cols>
  <sheetData>
    <row r="1" spans="1:4" x14ac:dyDescent="0.3">
      <c r="A1" s="19" t="s">
        <v>24</v>
      </c>
      <c r="B1" s="19"/>
      <c r="C1" s="19"/>
      <c r="D1" s="19"/>
    </row>
    <row r="3" spans="1:4" x14ac:dyDescent="0.3">
      <c r="A3" s="19" t="s">
        <v>13</v>
      </c>
    </row>
    <row r="4" spans="1:4" x14ac:dyDescent="0.3">
      <c r="A4" t="s">
        <v>27</v>
      </c>
      <c r="B4">
        <f>analysis!C3</f>
        <v>650000</v>
      </c>
    </row>
    <row r="5" spans="1:4" x14ac:dyDescent="0.3">
      <c r="A5" t="s">
        <v>20</v>
      </c>
      <c r="B5">
        <f>analysis!C4</f>
        <v>111000</v>
      </c>
    </row>
    <row r="6" spans="1:4" x14ac:dyDescent="0.3">
      <c r="A6" t="s">
        <v>28</v>
      </c>
      <c r="B6">
        <f>analysis!C5</f>
        <v>32500</v>
      </c>
    </row>
    <row r="7" spans="1:4" x14ac:dyDescent="0.3">
      <c r="A7" t="s">
        <v>25</v>
      </c>
      <c r="B7">
        <f>analysis!C6</f>
        <v>5550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A32B-17EB-4CCD-AE31-4EC0BD629BEB}">
  <dimension ref="A3:C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20" t="s">
        <v>29</v>
      </c>
      <c r="B3" t="s">
        <v>31</v>
      </c>
      <c r="C3" t="s">
        <v>32</v>
      </c>
    </row>
    <row r="4" spans="1:3" x14ac:dyDescent="0.3">
      <c r="A4" s="21" t="s">
        <v>10</v>
      </c>
      <c r="B4" s="22">
        <v>166000</v>
      </c>
      <c r="C4" s="22">
        <v>27000</v>
      </c>
    </row>
    <row r="5" spans="1:3" x14ac:dyDescent="0.3">
      <c r="A5" s="21" t="s">
        <v>9</v>
      </c>
      <c r="B5" s="22">
        <v>110000</v>
      </c>
      <c r="C5" s="22">
        <v>19000</v>
      </c>
    </row>
    <row r="6" spans="1:3" x14ac:dyDescent="0.3">
      <c r="A6" s="21" t="s">
        <v>6</v>
      </c>
      <c r="B6" s="22">
        <v>190000</v>
      </c>
      <c r="C6" s="22">
        <v>33000</v>
      </c>
    </row>
    <row r="7" spans="1:3" x14ac:dyDescent="0.3">
      <c r="A7" s="21" t="s">
        <v>11</v>
      </c>
      <c r="B7" s="22">
        <v>184000</v>
      </c>
      <c r="C7" s="22">
        <v>32000</v>
      </c>
    </row>
    <row r="8" spans="1:3" x14ac:dyDescent="0.3">
      <c r="A8" s="21" t="s">
        <v>30</v>
      </c>
      <c r="B8" s="22">
        <v>650000</v>
      </c>
      <c r="C8" s="22">
        <v>111000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48DD-40FC-4B46-AFA1-F1AD986C8660}">
  <dimension ref="A3:B7"/>
  <sheetViews>
    <sheetView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0" t="s">
        <v>29</v>
      </c>
      <c r="B3" t="s">
        <v>31</v>
      </c>
    </row>
    <row r="4" spans="1:2" x14ac:dyDescent="0.3">
      <c r="A4" s="21" t="s">
        <v>8</v>
      </c>
      <c r="B4" s="22">
        <v>74000</v>
      </c>
    </row>
    <row r="5" spans="1:2" x14ac:dyDescent="0.3">
      <c r="A5" s="21" t="s">
        <v>5</v>
      </c>
      <c r="B5" s="22">
        <v>396000</v>
      </c>
    </row>
    <row r="6" spans="1:2" x14ac:dyDescent="0.3">
      <c r="A6" s="21" t="s">
        <v>7</v>
      </c>
      <c r="B6" s="22">
        <v>180000</v>
      </c>
    </row>
    <row r="7" spans="1:2" x14ac:dyDescent="0.3">
      <c r="A7" s="21" t="s">
        <v>30</v>
      </c>
      <c r="B7" s="22">
        <v>650000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A7A9-5572-475E-8D01-61A398C14DBE}">
  <dimension ref="A1:E21"/>
  <sheetViews>
    <sheetView workbookViewId="0">
      <selection activeCell="C1" sqref="C1:D21"/>
    </sheetView>
  </sheetViews>
  <sheetFormatPr defaultRowHeight="14.4" x14ac:dyDescent="0.3"/>
  <cols>
    <col min="1" max="1" width="21.6640625" style="9" customWidth="1"/>
    <col min="2" max="2" width="21.21875" style="12" customWidth="1"/>
    <col min="3" max="3" width="16.21875" style="15" customWidth="1"/>
    <col min="4" max="4" width="14.77734375" style="4" customWidth="1"/>
    <col min="5" max="5" width="18.6640625" style="6" customWidth="1"/>
  </cols>
  <sheetData>
    <row r="1" spans="1:5" x14ac:dyDescent="0.3">
      <c r="A1" s="7" t="s">
        <v>0</v>
      </c>
      <c r="B1" s="10" t="s">
        <v>1</v>
      </c>
      <c r="C1" s="13" t="s">
        <v>2</v>
      </c>
      <c r="D1" s="3" t="s">
        <v>3</v>
      </c>
      <c r="E1" s="5" t="s">
        <v>4</v>
      </c>
    </row>
    <row r="2" spans="1:5" x14ac:dyDescent="0.3">
      <c r="A2" s="8">
        <v>46023</v>
      </c>
      <c r="B2" s="11" t="s">
        <v>5</v>
      </c>
      <c r="C2" s="14" t="s">
        <v>6</v>
      </c>
      <c r="D2" s="16">
        <v>50000</v>
      </c>
      <c r="E2" s="17">
        <v>8000</v>
      </c>
    </row>
    <row r="3" spans="1:5" x14ac:dyDescent="0.3">
      <c r="A3" s="8">
        <v>46024</v>
      </c>
      <c r="B3" s="11" t="s">
        <v>7</v>
      </c>
      <c r="C3" s="14" t="s">
        <v>6</v>
      </c>
      <c r="D3" s="16">
        <v>30000</v>
      </c>
      <c r="E3" s="17">
        <v>5000</v>
      </c>
    </row>
    <row r="4" spans="1:5" x14ac:dyDescent="0.3">
      <c r="A4" s="8">
        <v>46025</v>
      </c>
      <c r="B4" s="11" t="s">
        <v>8</v>
      </c>
      <c r="C4" s="14" t="s">
        <v>9</v>
      </c>
      <c r="D4" s="16">
        <v>10000</v>
      </c>
      <c r="E4" s="17">
        <v>2500</v>
      </c>
    </row>
    <row r="5" spans="1:5" x14ac:dyDescent="0.3">
      <c r="A5" s="8">
        <v>46026</v>
      </c>
      <c r="B5" s="11" t="s">
        <v>5</v>
      </c>
      <c r="C5" s="14" t="s">
        <v>9</v>
      </c>
      <c r="D5" s="16">
        <v>45000</v>
      </c>
      <c r="E5" s="17">
        <v>7000</v>
      </c>
    </row>
    <row r="6" spans="1:5" x14ac:dyDescent="0.3">
      <c r="A6" s="8">
        <v>46027</v>
      </c>
      <c r="B6" s="11" t="s">
        <v>7</v>
      </c>
      <c r="C6" s="14" t="s">
        <v>10</v>
      </c>
      <c r="D6" s="16">
        <v>28000</v>
      </c>
      <c r="E6" s="17">
        <v>4500</v>
      </c>
    </row>
    <row r="7" spans="1:5" x14ac:dyDescent="0.3">
      <c r="A7" s="8">
        <v>46028</v>
      </c>
      <c r="B7" s="11" t="s">
        <v>8</v>
      </c>
      <c r="C7" s="14" t="s">
        <v>11</v>
      </c>
      <c r="D7" s="16">
        <v>12000</v>
      </c>
      <c r="E7" s="17">
        <v>3000</v>
      </c>
    </row>
    <row r="8" spans="1:5" x14ac:dyDescent="0.3">
      <c r="A8" s="8">
        <v>46029</v>
      </c>
      <c r="B8" s="11" t="s">
        <v>5</v>
      </c>
      <c r="C8" s="14" t="s">
        <v>10</v>
      </c>
      <c r="D8" s="16">
        <v>55000</v>
      </c>
      <c r="E8" s="17">
        <v>9000</v>
      </c>
    </row>
    <row r="9" spans="1:5" x14ac:dyDescent="0.3">
      <c r="A9" s="8">
        <v>46030</v>
      </c>
      <c r="B9" s="11" t="s">
        <v>7</v>
      </c>
      <c r="C9" s="14" t="s">
        <v>11</v>
      </c>
      <c r="D9" s="16">
        <v>32000</v>
      </c>
      <c r="E9" s="17">
        <v>5500</v>
      </c>
    </row>
    <row r="10" spans="1:5" x14ac:dyDescent="0.3">
      <c r="A10" s="8">
        <v>46031</v>
      </c>
      <c r="B10" s="11" t="s">
        <v>8</v>
      </c>
      <c r="C10" s="14" t="s">
        <v>6</v>
      </c>
      <c r="D10" s="16">
        <v>15000</v>
      </c>
      <c r="E10" s="17">
        <v>3500</v>
      </c>
    </row>
    <row r="11" spans="1:5" x14ac:dyDescent="0.3">
      <c r="A11" s="8">
        <v>46032</v>
      </c>
      <c r="B11" s="11" t="s">
        <v>5</v>
      </c>
      <c r="C11" s="14" t="s">
        <v>11</v>
      </c>
      <c r="D11" s="16">
        <v>48000</v>
      </c>
      <c r="E11" s="17">
        <v>7500</v>
      </c>
    </row>
    <row r="12" spans="1:5" x14ac:dyDescent="0.3">
      <c r="A12" s="8">
        <v>46033</v>
      </c>
      <c r="B12" s="11" t="s">
        <v>5</v>
      </c>
      <c r="C12" s="14" t="s">
        <v>6</v>
      </c>
      <c r="D12" s="16">
        <v>50000</v>
      </c>
      <c r="E12" s="17">
        <v>8000</v>
      </c>
    </row>
    <row r="13" spans="1:5" x14ac:dyDescent="0.3">
      <c r="A13" s="8">
        <v>46034</v>
      </c>
      <c r="B13" s="11" t="s">
        <v>7</v>
      </c>
      <c r="C13" s="14" t="s">
        <v>6</v>
      </c>
      <c r="D13" s="16">
        <v>30000</v>
      </c>
      <c r="E13" s="17">
        <v>5000</v>
      </c>
    </row>
    <row r="14" spans="1:5" x14ac:dyDescent="0.3">
      <c r="A14" s="8">
        <v>46035</v>
      </c>
      <c r="B14" s="11" t="s">
        <v>8</v>
      </c>
      <c r="C14" s="14" t="s">
        <v>9</v>
      </c>
      <c r="D14" s="16">
        <v>10000</v>
      </c>
      <c r="E14" s="17">
        <v>2500</v>
      </c>
    </row>
    <row r="15" spans="1:5" x14ac:dyDescent="0.3">
      <c r="A15" s="8">
        <v>46036</v>
      </c>
      <c r="B15" s="11" t="s">
        <v>5</v>
      </c>
      <c r="C15" s="14" t="s">
        <v>9</v>
      </c>
      <c r="D15" s="16">
        <v>45000</v>
      </c>
      <c r="E15" s="17">
        <v>7000</v>
      </c>
    </row>
    <row r="16" spans="1:5" x14ac:dyDescent="0.3">
      <c r="A16" s="8">
        <v>46037</v>
      </c>
      <c r="B16" s="11" t="s">
        <v>7</v>
      </c>
      <c r="C16" s="14" t="s">
        <v>10</v>
      </c>
      <c r="D16" s="16">
        <v>28000</v>
      </c>
      <c r="E16" s="17">
        <v>4500</v>
      </c>
    </row>
    <row r="17" spans="1:5" x14ac:dyDescent="0.3">
      <c r="A17" s="8">
        <v>46038</v>
      </c>
      <c r="B17" s="11" t="s">
        <v>8</v>
      </c>
      <c r="C17" s="14" t="s">
        <v>11</v>
      </c>
      <c r="D17" s="16">
        <v>12000</v>
      </c>
      <c r="E17" s="17">
        <v>3000</v>
      </c>
    </row>
    <row r="18" spans="1:5" x14ac:dyDescent="0.3">
      <c r="A18" s="8">
        <v>46039</v>
      </c>
      <c r="B18" s="11" t="s">
        <v>5</v>
      </c>
      <c r="C18" s="14" t="s">
        <v>10</v>
      </c>
      <c r="D18" s="16">
        <v>55000</v>
      </c>
      <c r="E18" s="17">
        <v>9000</v>
      </c>
    </row>
    <row r="19" spans="1:5" x14ac:dyDescent="0.3">
      <c r="A19" s="8">
        <v>46040</v>
      </c>
      <c r="B19" s="11" t="s">
        <v>7</v>
      </c>
      <c r="C19" s="14" t="s">
        <v>11</v>
      </c>
      <c r="D19" s="16">
        <v>32000</v>
      </c>
      <c r="E19" s="17">
        <v>5500</v>
      </c>
    </row>
    <row r="20" spans="1:5" x14ac:dyDescent="0.3">
      <c r="A20" s="8">
        <v>46041</v>
      </c>
      <c r="B20" s="11" t="s">
        <v>8</v>
      </c>
      <c r="C20" s="14" t="s">
        <v>6</v>
      </c>
      <c r="D20" s="16">
        <v>15000</v>
      </c>
      <c r="E20" s="17">
        <v>3500</v>
      </c>
    </row>
    <row r="21" spans="1:5" x14ac:dyDescent="0.3">
      <c r="A21" s="8">
        <v>46042</v>
      </c>
      <c r="B21" s="11" t="s">
        <v>5</v>
      </c>
      <c r="C21" s="14" t="s">
        <v>11</v>
      </c>
      <c r="D21" s="16">
        <v>48000</v>
      </c>
      <c r="E21" s="17">
        <v>7500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CFED-E307-42E4-B362-1E04B7B915E6}">
  <dimension ref="A1:C6"/>
  <sheetViews>
    <sheetView workbookViewId="0">
      <selection activeCell="C2" sqref="C2"/>
    </sheetView>
  </sheetViews>
  <sheetFormatPr defaultRowHeight="14.4" x14ac:dyDescent="0.3"/>
  <cols>
    <col min="1" max="1" width="19.6640625" customWidth="1"/>
    <col min="2" max="2" width="16.44140625" customWidth="1"/>
    <col min="3" max="3" width="25.44140625" customWidth="1"/>
  </cols>
  <sheetData>
    <row r="1" spans="1:3" x14ac:dyDescent="0.3">
      <c r="A1" s="1" t="s">
        <v>12</v>
      </c>
      <c r="B1" s="1" t="s">
        <v>13</v>
      </c>
      <c r="C1" s="19" t="s">
        <v>26</v>
      </c>
    </row>
    <row r="2" spans="1:3" x14ac:dyDescent="0.3">
      <c r="A2" s="18" t="s">
        <v>14</v>
      </c>
      <c r="B2" s="2" t="s">
        <v>19</v>
      </c>
      <c r="C2">
        <f>COUNTA('sales data'!A2:A21)</f>
        <v>20</v>
      </c>
    </row>
    <row r="3" spans="1:3" x14ac:dyDescent="0.3">
      <c r="A3" s="18" t="s">
        <v>16</v>
      </c>
      <c r="B3" s="2" t="s">
        <v>15</v>
      </c>
      <c r="C3">
        <f>SUM('sales data'!D2:D21)</f>
        <v>650000</v>
      </c>
    </row>
    <row r="4" spans="1:3" x14ac:dyDescent="0.3">
      <c r="A4" s="18" t="s">
        <v>17</v>
      </c>
      <c r="B4" s="2" t="s">
        <v>20</v>
      </c>
      <c r="C4">
        <f>SUM('sales data'!E2:E21)</f>
        <v>111000</v>
      </c>
    </row>
    <row r="5" spans="1:3" x14ac:dyDescent="0.3">
      <c r="A5" s="18" t="s">
        <v>21</v>
      </c>
      <c r="B5" s="2" t="s">
        <v>18</v>
      </c>
      <c r="C5">
        <f>AVERAGE('sales data'!D2:D21)</f>
        <v>32500</v>
      </c>
    </row>
    <row r="6" spans="1:3" x14ac:dyDescent="0.3">
      <c r="A6" s="18" t="s">
        <v>23</v>
      </c>
      <c r="B6" s="2" t="s">
        <v>22</v>
      </c>
      <c r="C6">
        <f>AVERAGE('sales data'!E2:E21)</f>
        <v>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Dashbord</vt:lpstr>
      <vt:lpstr>Sheet4</vt:lpstr>
      <vt:lpstr>Sheet5</vt:lpstr>
      <vt:lpstr>sales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annapareddy varsha</dc:creator>
  <cp:lastModifiedBy>annapareddy varsha</cp:lastModifiedBy>
  <dcterms:created xsi:type="dcterms:W3CDTF">2026-09-10T04:39:11Z</dcterms:created>
  <dcterms:modified xsi:type="dcterms:W3CDTF">2026-09-22T14:19:40Z</dcterms:modified>
</cp:coreProperties>
</file>